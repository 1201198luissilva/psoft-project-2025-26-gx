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nosilva/Library/CloudStorage/OneDrive-InstitutoSuperiordeEngenhariadoPorto/Ensino/ARQSOFT+ODSOFT/ARQSOFT+ODSOFT 2025-2026/Project/ODSOFT/"/>
    </mc:Choice>
  </mc:AlternateContent>
  <xr:revisionPtr revIDLastSave="0" documentId="13_ncr:1_{0C783F93-305A-FA49-8D05-C8DD3A263530}" xr6:coauthVersionLast="47" xr6:coauthVersionMax="47" xr10:uidLastSave="{00000000-0000-0000-0000-000000000000}"/>
  <workbookProtection workbookAlgorithmName="SHA-512" workbookHashValue="nXtASUpBmyPOPJHxOMzgetB9JUMrip7j9we+FGJ092Tq6TjAO7/xqKm0vj1JakoxtHSJ5E8uF5tjMMzhnb6e9A==" workbookSaltValue="8aqy+3d545LKF+WDQ1G5eQ==" workbookSpinCount="100000" lockStructure="1"/>
  <bookViews>
    <workbookView xWindow="0" yWindow="800" windowWidth="34200" windowHeight="20980" xr2:uid="{9EC37D58-D78D-9949-BBF9-6702CF440053}"/>
  </bookViews>
  <sheets>
    <sheet name="P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D3" i="3"/>
  <c r="C3" i="3"/>
  <c r="E20" i="3" l="1"/>
  <c r="E14" i="3"/>
  <c r="E26" i="3" l="1"/>
  <c r="E27" i="3" s="1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H20" i="3"/>
  <c r="I20" i="3"/>
  <c r="J20" i="3"/>
  <c r="J26" i="3" s="1"/>
  <c r="J27" i="3" s="1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Z26" i="3" s="1"/>
  <c r="Z27" i="3" s="1"/>
  <c r="AA20" i="3"/>
  <c r="R26" i="3" l="1"/>
  <c r="R27" i="3" s="1"/>
  <c r="I26" i="3"/>
  <c r="I27" i="3" s="1"/>
  <c r="H26" i="3"/>
  <c r="H27" i="3" s="1"/>
  <c r="AH26" i="3"/>
  <c r="AH27" i="3" s="1"/>
  <c r="AJ26" i="3"/>
  <c r="AJ27" i="3" s="1"/>
  <c r="Q26" i="3"/>
  <c r="Q27" i="3" s="1"/>
  <c r="AL26" i="3"/>
  <c r="AL27" i="3" s="1"/>
  <c r="AM26" i="3"/>
  <c r="AM27" i="3" s="1"/>
  <c r="Y26" i="3"/>
  <c r="Y27" i="3" s="1"/>
  <c r="T26" i="3"/>
  <c r="T27" i="3" s="1"/>
  <c r="L26" i="3"/>
  <c r="L27" i="3" s="1"/>
  <c r="X26" i="3"/>
  <c r="X27" i="3" s="1"/>
  <c r="P26" i="3"/>
  <c r="P27" i="3" s="1"/>
  <c r="AN26" i="3"/>
  <c r="AN27" i="3" s="1"/>
  <c r="AB26" i="3"/>
  <c r="AB27" i="3" s="1"/>
  <c r="S26" i="3"/>
  <c r="S27" i="3" s="1"/>
  <c r="M26" i="3"/>
  <c r="M27" i="3" s="1"/>
  <c r="W26" i="3"/>
  <c r="W27" i="3" s="1"/>
  <c r="O26" i="3"/>
  <c r="O27" i="3" s="1"/>
  <c r="V26" i="3"/>
  <c r="V27" i="3" s="1"/>
  <c r="N26" i="3"/>
  <c r="N27" i="3" s="1"/>
  <c r="AI26" i="3"/>
  <c r="AI27" i="3" s="1"/>
  <c r="AA26" i="3"/>
  <c r="AA27" i="3" s="1"/>
  <c r="K26" i="3"/>
  <c r="K27" i="3" s="1"/>
  <c r="AK26" i="3"/>
  <c r="AK27" i="3" s="1"/>
  <c r="AC26" i="3"/>
  <c r="AC27" i="3" s="1"/>
  <c r="U26" i="3"/>
  <c r="U27" i="3" s="1"/>
  <c r="AF26" i="3"/>
  <c r="AF27" i="3" s="1"/>
  <c r="AE26" i="3"/>
  <c r="AE27" i="3" s="1"/>
  <c r="AG26" i="3"/>
  <c r="AG27" i="3" s="1"/>
  <c r="AD26" i="3"/>
  <c r="AD27" i="3" s="1"/>
  <c r="F14" i="3"/>
  <c r="F20" i="3"/>
  <c r="G20" i="3"/>
  <c r="D20" i="3"/>
  <c r="G14" i="3"/>
  <c r="D14" i="3"/>
  <c r="C14" i="3"/>
  <c r="C20" i="3"/>
  <c r="D26" i="3" l="1"/>
  <c r="D27" i="3" s="1"/>
  <c r="C26" i="3"/>
  <c r="G26" i="3"/>
  <c r="G27" i="3" s="1"/>
  <c r="F26" i="3"/>
  <c r="F27" i="3" s="1"/>
</calcChain>
</file>

<file path=xl/sharedStrings.xml><?xml version="1.0" encoding="utf-8"?>
<sst xmlns="http://schemas.openxmlformats.org/spreadsheetml/2006/main" count="159" uniqueCount="54">
  <si>
    <t>#</t>
  </si>
  <si>
    <t>Criteria</t>
  </si>
  <si>
    <t>Weight</t>
  </si>
  <si>
    <t>Example 1</t>
  </si>
  <si>
    <t>Example 2</t>
  </si>
  <si>
    <t>Example 3</t>
  </si>
  <si>
    <t>(number)</t>
  </si>
  <si>
    <t>(name)</t>
  </si>
  <si>
    <t>Development of CI/CD pipeline</t>
  </si>
  <si>
    <t>1.1</t>
  </si>
  <si>
    <t>1.2</t>
  </si>
  <si>
    <t>CI/CD pipeline stages (not only running but also description and critical analysis)</t>
  </si>
  <si>
    <t>-</t>
  </si>
  <si>
    <t>1.2.1</t>
  </si>
  <si>
    <t>Pipeline specification read (checkout) from SCM</t>
  </si>
  <si>
    <t>1.2.2</t>
  </si>
  <si>
    <t xml:space="preserve">Build </t>
  </si>
  <si>
    <t>1.2.3</t>
  </si>
  <si>
    <t>Static Code Analysis</t>
  </si>
  <si>
    <t>1.2.4</t>
  </si>
  <si>
    <t>Packaging</t>
  </si>
  <si>
    <t>1.2.5</t>
  </si>
  <si>
    <t>Tests (by type)</t>
  </si>
  <si>
    <t>1.2.6</t>
  </si>
  <si>
    <t>Deployment on localhost</t>
  </si>
  <si>
    <t>1.2.7</t>
  </si>
  <si>
    <t>2.1</t>
  </si>
  <si>
    <t>2.2</t>
  </si>
  <si>
    <t>2.3</t>
  </si>
  <si>
    <t>2.4</t>
  </si>
  <si>
    <t>2.5</t>
  </si>
  <si>
    <t>Documenting</t>
  </si>
  <si>
    <t>3.1</t>
  </si>
  <si>
    <t>3.2</t>
  </si>
  <si>
    <t>3.3</t>
  </si>
  <si>
    <t>Critical analysis of the pipeline, including performance, with evidence of improvement over time</t>
  </si>
  <si>
    <t>Total [0-100]:</t>
  </si>
  <si>
    <t>Grade:</t>
  </si>
  <si>
    <t>Functional opaque-box with SUT = classes</t>
  </si>
  <si>
    <t>Functional transparent-box with SUT = domain classes</t>
  </si>
  <si>
    <t>Mutation tests with SUT = classes</t>
  </si>
  <si>
    <t>Functional opaque-box with SUT = controller+service+{domain, repository, gateways}</t>
  </si>
  <si>
    <t>Functional opaque-box with SUT = system</t>
  </si>
  <si>
    <t>Jenkins deployment on two of localhost, DEI’s remote servers, Containers, Others</t>
  </si>
  <si>
    <t>Deployment to 2 hosting environments: localhost, DEI's remote server, Containers</t>
  </si>
  <si>
    <t>In 3 environments: dev, staging and production</t>
  </si>
  <si>
    <t>System-as-is</t>
  </si>
  <si>
    <t>Reverse engineering design, including implementation and deployment</t>
  </si>
  <si>
    <t>Test health metrics: quantity, and quality</t>
  </si>
  <si>
    <t>System-to-be (deployment only)</t>
  </si>
  <si>
    <t>Improvement of Automated Functional Software Tests (including health/coverage/quantity/quality)</t>
  </si>
  <si>
    <t>1.2.8</t>
  </si>
  <si>
    <t>3.1.1</t>
  </si>
  <si>
    <t>3.1.2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</si>
</sst>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Symbol"/>
      <charset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indent="1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horizontal="left" indent="2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3"/>
    </xf>
    <xf numFmtId="0" fontId="0" fillId="0" borderId="0" xfId="0" applyAlignment="1">
      <alignment horizontal="left" indent="3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BEF0-369B-0C4C-98F3-3BE0E3702B99}">
  <dimension ref="A1:AN36"/>
  <sheetViews>
    <sheetView tabSelected="1" zoomScale="165" workbookViewId="0">
      <selection activeCell="B14" sqref="B14"/>
    </sheetView>
  </sheetViews>
  <sheetFormatPr baseColWidth="10" defaultColWidth="11" defaultRowHeight="16" x14ac:dyDescent="0.2"/>
  <cols>
    <col min="1" max="1" width="6" style="9" customWidth="1"/>
    <col min="2" max="2" width="96.5" bestFit="1" customWidth="1"/>
    <col min="3" max="6" width="10.83203125" style="4"/>
  </cols>
  <sheetData>
    <row r="1" spans="1:40" x14ac:dyDescent="0.2">
      <c r="A1" s="22" t="s">
        <v>0</v>
      </c>
      <c r="B1" s="23" t="s">
        <v>1</v>
      </c>
      <c r="C1" s="24" t="s">
        <v>2</v>
      </c>
      <c r="D1" s="22" t="s">
        <v>3</v>
      </c>
      <c r="E1" s="22" t="s">
        <v>4</v>
      </c>
      <c r="F1" s="22" t="s">
        <v>5</v>
      </c>
      <c r="G1" s="16" t="s">
        <v>6</v>
      </c>
      <c r="H1" s="16" t="s">
        <v>6</v>
      </c>
      <c r="I1" s="16" t="s">
        <v>6</v>
      </c>
      <c r="J1" s="16" t="s">
        <v>6</v>
      </c>
      <c r="K1" s="16" t="s">
        <v>6</v>
      </c>
      <c r="L1" s="16" t="s">
        <v>6</v>
      </c>
      <c r="M1" s="16" t="s">
        <v>6</v>
      </c>
      <c r="N1" s="16" t="s">
        <v>6</v>
      </c>
      <c r="O1" s="16" t="s">
        <v>6</v>
      </c>
      <c r="P1" s="16" t="s">
        <v>6</v>
      </c>
      <c r="Q1" s="16" t="s">
        <v>6</v>
      </c>
      <c r="R1" s="16" t="s">
        <v>6</v>
      </c>
      <c r="S1" s="16" t="s">
        <v>6</v>
      </c>
      <c r="T1" s="16" t="s">
        <v>6</v>
      </c>
      <c r="U1" s="16" t="s">
        <v>6</v>
      </c>
      <c r="V1" s="16" t="s">
        <v>6</v>
      </c>
      <c r="W1" s="16" t="s">
        <v>6</v>
      </c>
      <c r="X1" s="16" t="s">
        <v>6</v>
      </c>
      <c r="Y1" s="16" t="s">
        <v>6</v>
      </c>
      <c r="Z1" s="16" t="s">
        <v>6</v>
      </c>
      <c r="AA1" s="16" t="s">
        <v>6</v>
      </c>
      <c r="AB1" s="16" t="s">
        <v>6</v>
      </c>
      <c r="AC1" s="16" t="s">
        <v>6</v>
      </c>
      <c r="AD1" s="16" t="s">
        <v>6</v>
      </c>
      <c r="AE1" s="16" t="s">
        <v>6</v>
      </c>
      <c r="AF1" s="16" t="s">
        <v>6</v>
      </c>
      <c r="AG1" s="16" t="s">
        <v>6</v>
      </c>
      <c r="AH1" s="16" t="s">
        <v>6</v>
      </c>
      <c r="AI1" s="16" t="s">
        <v>6</v>
      </c>
      <c r="AJ1" s="16" t="s">
        <v>6</v>
      </c>
      <c r="AK1" s="16" t="s">
        <v>6</v>
      </c>
      <c r="AL1" s="16" t="s">
        <v>6</v>
      </c>
      <c r="AM1" s="16" t="s">
        <v>6</v>
      </c>
      <c r="AN1" s="16" t="s">
        <v>6</v>
      </c>
    </row>
    <row r="2" spans="1:40" x14ac:dyDescent="0.2">
      <c r="A2" s="22"/>
      <c r="B2" s="23"/>
      <c r="C2" s="24"/>
      <c r="D2" s="22"/>
      <c r="E2" s="22"/>
      <c r="F2" s="22"/>
      <c r="G2" s="16" t="s">
        <v>7</v>
      </c>
      <c r="H2" s="16" t="s">
        <v>7</v>
      </c>
      <c r="I2" s="16" t="s">
        <v>7</v>
      </c>
      <c r="J2" s="16" t="s">
        <v>7</v>
      </c>
      <c r="K2" s="16" t="s">
        <v>7</v>
      </c>
      <c r="L2" s="16" t="s">
        <v>7</v>
      </c>
      <c r="M2" s="16" t="s">
        <v>7</v>
      </c>
      <c r="N2" s="16" t="s">
        <v>7</v>
      </c>
      <c r="O2" s="16" t="s">
        <v>7</v>
      </c>
      <c r="P2" s="16" t="s">
        <v>7</v>
      </c>
      <c r="Q2" s="16" t="s">
        <v>7</v>
      </c>
      <c r="R2" s="16" t="s">
        <v>7</v>
      </c>
      <c r="S2" s="16" t="s">
        <v>7</v>
      </c>
      <c r="T2" s="16" t="s">
        <v>7</v>
      </c>
      <c r="U2" s="16" t="s">
        <v>7</v>
      </c>
      <c r="V2" s="16" t="s">
        <v>7</v>
      </c>
      <c r="W2" s="16" t="s">
        <v>7</v>
      </c>
      <c r="X2" s="16" t="s">
        <v>7</v>
      </c>
      <c r="Y2" s="16" t="s">
        <v>7</v>
      </c>
      <c r="Z2" s="16" t="s">
        <v>7</v>
      </c>
      <c r="AA2" s="16" t="s">
        <v>7</v>
      </c>
      <c r="AB2" s="16" t="s">
        <v>7</v>
      </c>
      <c r="AC2" s="16" t="s">
        <v>7</v>
      </c>
      <c r="AD2" s="16" t="s">
        <v>7</v>
      </c>
      <c r="AE2" s="16" t="s">
        <v>7</v>
      </c>
      <c r="AF2" s="16" t="s">
        <v>7</v>
      </c>
      <c r="AG2" s="16" t="s">
        <v>7</v>
      </c>
      <c r="AH2" s="16" t="s">
        <v>7</v>
      </c>
      <c r="AI2" s="16" t="s">
        <v>7</v>
      </c>
      <c r="AJ2" s="16" t="s">
        <v>7</v>
      </c>
      <c r="AK2" s="16" t="s">
        <v>7</v>
      </c>
      <c r="AL2" s="16" t="s">
        <v>7</v>
      </c>
      <c r="AM2" s="16" t="s">
        <v>7</v>
      </c>
      <c r="AN2" s="16" t="s">
        <v>7</v>
      </c>
    </row>
    <row r="3" spans="1:40" x14ac:dyDescent="0.2">
      <c r="A3" s="12">
        <v>1</v>
      </c>
      <c r="B3" s="1" t="s">
        <v>8</v>
      </c>
      <c r="C3" s="3">
        <f>SUM(C4:C13)</f>
        <v>120</v>
      </c>
      <c r="D3" s="10">
        <f>SUMPRODUCT(D4:D13,$C$4:$C$13)/100</f>
        <v>120</v>
      </c>
      <c r="E3" s="10">
        <f t="shared" ref="E3:AN3" si="0">SUMPRODUCT(E4:E13,$C$4:$C$13)/100</f>
        <v>106</v>
      </c>
      <c r="F3" s="10">
        <f t="shared" si="0"/>
        <v>60</v>
      </c>
      <c r="G3" s="10">
        <f t="shared" si="0"/>
        <v>0</v>
      </c>
      <c r="H3" s="10">
        <f t="shared" si="0"/>
        <v>0</v>
      </c>
      <c r="I3" s="10">
        <f t="shared" si="0"/>
        <v>0</v>
      </c>
      <c r="J3" s="10">
        <f t="shared" si="0"/>
        <v>0</v>
      </c>
      <c r="K3" s="10">
        <f t="shared" si="0"/>
        <v>0</v>
      </c>
      <c r="L3" s="10">
        <f t="shared" si="0"/>
        <v>0</v>
      </c>
      <c r="M3" s="10">
        <f t="shared" si="0"/>
        <v>0</v>
      </c>
      <c r="N3" s="10">
        <f t="shared" si="0"/>
        <v>0</v>
      </c>
      <c r="O3" s="10">
        <f t="shared" si="0"/>
        <v>0</v>
      </c>
      <c r="P3" s="10">
        <f t="shared" si="0"/>
        <v>0</v>
      </c>
      <c r="Q3" s="10">
        <f t="shared" si="0"/>
        <v>0</v>
      </c>
      <c r="R3" s="10">
        <f t="shared" si="0"/>
        <v>0</v>
      </c>
      <c r="S3" s="10">
        <f t="shared" si="0"/>
        <v>0</v>
      </c>
      <c r="T3" s="10">
        <f t="shared" si="0"/>
        <v>0</v>
      </c>
      <c r="U3" s="10">
        <f t="shared" si="0"/>
        <v>0</v>
      </c>
      <c r="V3" s="10">
        <f t="shared" si="0"/>
        <v>0</v>
      </c>
      <c r="W3" s="10">
        <f t="shared" si="0"/>
        <v>0</v>
      </c>
      <c r="X3" s="10">
        <f t="shared" si="0"/>
        <v>0</v>
      </c>
      <c r="Y3" s="10">
        <f t="shared" si="0"/>
        <v>0</v>
      </c>
      <c r="Z3" s="10">
        <f t="shared" si="0"/>
        <v>0</v>
      </c>
      <c r="AA3" s="10">
        <f t="shared" si="0"/>
        <v>0</v>
      </c>
      <c r="AB3" s="10">
        <f t="shared" si="0"/>
        <v>0</v>
      </c>
      <c r="AC3" s="10">
        <f t="shared" si="0"/>
        <v>0</v>
      </c>
      <c r="AD3" s="10">
        <f t="shared" si="0"/>
        <v>0</v>
      </c>
      <c r="AE3" s="10">
        <f t="shared" si="0"/>
        <v>0</v>
      </c>
      <c r="AF3" s="10">
        <f t="shared" si="0"/>
        <v>0</v>
      </c>
      <c r="AG3" s="10">
        <f t="shared" si="0"/>
        <v>0</v>
      </c>
      <c r="AH3" s="10">
        <f t="shared" si="0"/>
        <v>0</v>
      </c>
      <c r="AI3" s="10">
        <f t="shared" si="0"/>
        <v>0</v>
      </c>
      <c r="AJ3" s="10">
        <f t="shared" si="0"/>
        <v>0</v>
      </c>
      <c r="AK3" s="10">
        <f t="shared" si="0"/>
        <v>0</v>
      </c>
      <c r="AL3" s="10">
        <f t="shared" si="0"/>
        <v>0</v>
      </c>
      <c r="AM3" s="10">
        <f t="shared" si="0"/>
        <v>0</v>
      </c>
      <c r="AN3" s="10">
        <f t="shared" si="0"/>
        <v>0</v>
      </c>
    </row>
    <row r="4" spans="1:40" x14ac:dyDescent="0.2">
      <c r="A4" s="9" t="s">
        <v>9</v>
      </c>
      <c r="B4" s="5" t="s">
        <v>43</v>
      </c>
      <c r="C4" s="2">
        <v>10</v>
      </c>
      <c r="D4" s="4">
        <v>100</v>
      </c>
      <c r="E4" s="4">
        <v>100</v>
      </c>
      <c r="F4" s="4">
        <v>50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x14ac:dyDescent="0.2">
      <c r="A5" s="9" t="s">
        <v>10</v>
      </c>
      <c r="B5" s="5" t="s">
        <v>11</v>
      </c>
      <c r="C5" s="2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  <c r="N5" s="4" t="s">
        <v>12</v>
      </c>
      <c r="O5" s="4" t="s">
        <v>12</v>
      </c>
      <c r="P5" s="4" t="s">
        <v>12</v>
      </c>
      <c r="Q5" s="4" t="s">
        <v>12</v>
      </c>
      <c r="R5" s="4" t="s">
        <v>12</v>
      </c>
      <c r="S5" s="4" t="s">
        <v>12</v>
      </c>
      <c r="T5" s="4" t="s">
        <v>12</v>
      </c>
      <c r="U5" s="4" t="s">
        <v>12</v>
      </c>
      <c r="V5" s="4" t="s">
        <v>12</v>
      </c>
      <c r="W5" s="4" t="s">
        <v>12</v>
      </c>
      <c r="X5" s="4" t="s">
        <v>12</v>
      </c>
      <c r="Y5" s="4" t="s">
        <v>12</v>
      </c>
      <c r="Z5" s="4" t="s">
        <v>12</v>
      </c>
      <c r="AA5" s="4" t="s">
        <v>12</v>
      </c>
      <c r="AB5" s="4" t="s">
        <v>12</v>
      </c>
      <c r="AC5" s="4" t="s">
        <v>12</v>
      </c>
      <c r="AD5" s="4" t="s">
        <v>12</v>
      </c>
      <c r="AE5" s="4" t="s">
        <v>12</v>
      </c>
      <c r="AF5" s="4" t="s">
        <v>12</v>
      </c>
      <c r="AG5" s="4" t="s">
        <v>12</v>
      </c>
      <c r="AH5" s="4" t="s">
        <v>12</v>
      </c>
      <c r="AI5" s="4" t="s">
        <v>12</v>
      </c>
      <c r="AJ5" s="4" t="s">
        <v>12</v>
      </c>
      <c r="AK5" s="4" t="s">
        <v>12</v>
      </c>
      <c r="AL5" s="4" t="s">
        <v>12</v>
      </c>
      <c r="AM5" s="4" t="s">
        <v>12</v>
      </c>
      <c r="AN5" s="4" t="s">
        <v>12</v>
      </c>
    </row>
    <row r="6" spans="1:40" x14ac:dyDescent="0.2">
      <c r="A6" s="9" t="s">
        <v>13</v>
      </c>
      <c r="B6" s="15" t="s">
        <v>14</v>
      </c>
      <c r="C6" s="2">
        <v>10</v>
      </c>
      <c r="D6" s="4">
        <v>100</v>
      </c>
      <c r="E6" s="4">
        <v>100</v>
      </c>
      <c r="F6" s="4">
        <v>50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spans="1:40" x14ac:dyDescent="0.2">
      <c r="A7" s="9" t="s">
        <v>15</v>
      </c>
      <c r="B7" s="15" t="s">
        <v>16</v>
      </c>
      <c r="C7" s="2">
        <v>10</v>
      </c>
      <c r="D7" s="4">
        <v>100</v>
      </c>
      <c r="E7" s="4">
        <v>100</v>
      </c>
      <c r="F7" s="4">
        <v>50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</row>
    <row r="8" spans="1:40" x14ac:dyDescent="0.2">
      <c r="A8" s="9" t="s">
        <v>17</v>
      </c>
      <c r="B8" s="15" t="s">
        <v>18</v>
      </c>
      <c r="C8" s="2">
        <v>10</v>
      </c>
      <c r="D8" s="4">
        <v>100</v>
      </c>
      <c r="E8" s="4">
        <v>100</v>
      </c>
      <c r="F8" s="4">
        <v>50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</row>
    <row r="9" spans="1:40" x14ac:dyDescent="0.2">
      <c r="A9" s="9" t="s">
        <v>19</v>
      </c>
      <c r="B9" s="15" t="s">
        <v>20</v>
      </c>
      <c r="C9" s="2">
        <v>10</v>
      </c>
      <c r="D9" s="4">
        <v>100</v>
      </c>
      <c r="E9" s="4">
        <v>100</v>
      </c>
      <c r="F9" s="4">
        <v>50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</row>
    <row r="10" spans="1:40" x14ac:dyDescent="0.2">
      <c r="A10" s="9" t="s">
        <v>21</v>
      </c>
      <c r="B10" s="15" t="s">
        <v>22</v>
      </c>
      <c r="C10" s="2">
        <v>20</v>
      </c>
      <c r="D10" s="4">
        <v>100</v>
      </c>
      <c r="E10" s="4">
        <v>100</v>
      </c>
      <c r="F10" s="4">
        <v>50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spans="1:40" x14ac:dyDescent="0.2">
      <c r="A11" s="9" t="s">
        <v>23</v>
      </c>
      <c r="B11" s="15" t="s">
        <v>24</v>
      </c>
      <c r="C11" s="2">
        <v>15</v>
      </c>
      <c r="D11" s="4">
        <v>100</v>
      </c>
      <c r="E11" s="4">
        <v>100</v>
      </c>
      <c r="F11" s="4">
        <v>50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x14ac:dyDescent="0.2">
      <c r="A12" s="9" t="s">
        <v>25</v>
      </c>
      <c r="B12" s="15" t="s">
        <v>44</v>
      </c>
      <c r="C12" s="2">
        <v>25</v>
      </c>
      <c r="D12" s="4">
        <v>100</v>
      </c>
      <c r="E12" s="18">
        <v>60</v>
      </c>
      <c r="F12" s="4">
        <v>50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x14ac:dyDescent="0.2">
      <c r="A13" s="9" t="s">
        <v>51</v>
      </c>
      <c r="B13" s="15" t="s">
        <v>45</v>
      </c>
      <c r="C13" s="2">
        <v>10</v>
      </c>
      <c r="D13" s="4">
        <v>100</v>
      </c>
      <c r="E13" s="18">
        <v>60</v>
      </c>
      <c r="F13" s="4">
        <v>50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0" x14ac:dyDescent="0.2">
      <c r="A14" s="12">
        <v>2</v>
      </c>
      <c r="B14" s="1" t="s">
        <v>50</v>
      </c>
      <c r="C14" s="3">
        <f>SUM(C15:C19)</f>
        <v>120</v>
      </c>
      <c r="D14" s="10">
        <f>SUMPRODUCT(D15:D19,$C$15:$C$19)/100</f>
        <v>120</v>
      </c>
      <c r="E14" s="10">
        <f>SUMPRODUCT(E15:E19,$C$15:$C$19)/100</f>
        <v>100</v>
      </c>
      <c r="F14" s="10">
        <f>SUMPRODUCT(F15:F19,$C$15:$C$19)/100</f>
        <v>60</v>
      </c>
      <c r="G14" s="10">
        <f>SUMPRODUCT(G15:G19,$C$15:$C$19)/100</f>
        <v>0</v>
      </c>
      <c r="H14" s="10">
        <f t="shared" ref="H14:AA14" si="1">SUMPRODUCT(H15:H19,$C$15:$C$19)/100</f>
        <v>0</v>
      </c>
      <c r="I14" s="10">
        <f t="shared" si="1"/>
        <v>0</v>
      </c>
      <c r="J14" s="10">
        <f t="shared" si="1"/>
        <v>0</v>
      </c>
      <c r="K14" s="10">
        <f t="shared" si="1"/>
        <v>0</v>
      </c>
      <c r="L14" s="10">
        <f t="shared" si="1"/>
        <v>0</v>
      </c>
      <c r="M14" s="10">
        <f t="shared" si="1"/>
        <v>0</v>
      </c>
      <c r="N14" s="10">
        <f t="shared" si="1"/>
        <v>0</v>
      </c>
      <c r="O14" s="10">
        <f t="shared" si="1"/>
        <v>0</v>
      </c>
      <c r="P14" s="10">
        <f t="shared" si="1"/>
        <v>0</v>
      </c>
      <c r="Q14" s="10">
        <f t="shared" si="1"/>
        <v>0</v>
      </c>
      <c r="R14" s="10">
        <f t="shared" si="1"/>
        <v>0</v>
      </c>
      <c r="S14" s="10">
        <f t="shared" si="1"/>
        <v>0</v>
      </c>
      <c r="T14" s="10">
        <f t="shared" si="1"/>
        <v>0</v>
      </c>
      <c r="U14" s="10">
        <f t="shared" si="1"/>
        <v>0</v>
      </c>
      <c r="V14" s="10">
        <f t="shared" si="1"/>
        <v>0</v>
      </c>
      <c r="W14" s="10">
        <f t="shared" si="1"/>
        <v>0</v>
      </c>
      <c r="X14" s="10">
        <f t="shared" si="1"/>
        <v>0</v>
      </c>
      <c r="Y14" s="10">
        <f t="shared" si="1"/>
        <v>0</v>
      </c>
      <c r="Z14" s="10">
        <f t="shared" si="1"/>
        <v>0</v>
      </c>
      <c r="AA14" s="10">
        <f t="shared" si="1"/>
        <v>0</v>
      </c>
      <c r="AB14" s="10">
        <f>SUMPRODUCT(AB15:AB19,$C$15:$C$19)/100</f>
        <v>0</v>
      </c>
      <c r="AC14" s="10">
        <f t="shared" ref="AC14" si="2">SUMPRODUCT(AC15:AC19,$C$15:$C$19)/100</f>
        <v>0</v>
      </c>
      <c r="AD14" s="10">
        <f t="shared" ref="AD14" si="3">SUMPRODUCT(AD15:AD19,$C$15:$C$19)/100</f>
        <v>0</v>
      </c>
      <c r="AE14" s="10">
        <f t="shared" ref="AE14" si="4">SUMPRODUCT(AE15:AE19,$C$15:$C$19)/100</f>
        <v>0</v>
      </c>
      <c r="AF14" s="10">
        <f t="shared" ref="AF14" si="5">SUMPRODUCT(AF15:AF19,$C$15:$C$19)/100</f>
        <v>0</v>
      </c>
      <c r="AG14" s="10">
        <f t="shared" ref="AG14" si="6">SUMPRODUCT(AG15:AG19,$C$15:$C$19)/100</f>
        <v>0</v>
      </c>
      <c r="AH14" s="10">
        <f t="shared" ref="AH14" si="7">SUMPRODUCT(AH15:AH19,$C$15:$C$19)/100</f>
        <v>0</v>
      </c>
      <c r="AI14" s="10">
        <f t="shared" ref="AI14" si="8">SUMPRODUCT(AI15:AI19,$C$15:$C$19)/100</f>
        <v>0</v>
      </c>
      <c r="AJ14" s="10">
        <f t="shared" ref="AJ14" si="9">SUMPRODUCT(AJ15:AJ19,$C$15:$C$19)/100</f>
        <v>0</v>
      </c>
      <c r="AK14" s="10">
        <f t="shared" ref="AK14" si="10">SUMPRODUCT(AK15:AK19,$C$15:$C$19)/100</f>
        <v>0</v>
      </c>
      <c r="AL14" s="10">
        <f t="shared" ref="AL14" si="11">SUMPRODUCT(AL15:AL19,$C$15:$C$19)/100</f>
        <v>0</v>
      </c>
      <c r="AM14" s="10">
        <f t="shared" ref="AM14" si="12">SUMPRODUCT(AM15:AM19,$C$15:$C$19)/100</f>
        <v>0</v>
      </c>
      <c r="AN14" s="10">
        <f t="shared" ref="AN14" si="13">SUMPRODUCT(AN15:AN19,$C$15:$C$19)/100</f>
        <v>0</v>
      </c>
    </row>
    <row r="15" spans="1:40" x14ac:dyDescent="0.2">
      <c r="A15" s="9" t="s">
        <v>26</v>
      </c>
      <c r="B15" s="20" t="s">
        <v>38</v>
      </c>
      <c r="C15" s="2">
        <v>25</v>
      </c>
      <c r="D15" s="4">
        <v>100</v>
      </c>
      <c r="E15" s="4">
        <v>100</v>
      </c>
      <c r="F15" s="4">
        <v>50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0" x14ac:dyDescent="0.2">
      <c r="A16" s="9" t="s">
        <v>27</v>
      </c>
      <c r="B16" s="20" t="s">
        <v>39</v>
      </c>
      <c r="C16" s="2">
        <v>25</v>
      </c>
      <c r="D16" s="4">
        <v>100</v>
      </c>
      <c r="E16" s="4">
        <v>100</v>
      </c>
      <c r="F16" s="4">
        <v>50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spans="1:40" x14ac:dyDescent="0.2">
      <c r="A17" s="9" t="s">
        <v>28</v>
      </c>
      <c r="B17" s="20" t="s">
        <v>40</v>
      </c>
      <c r="C17" s="2">
        <v>20</v>
      </c>
      <c r="D17" s="4">
        <v>100</v>
      </c>
      <c r="E17" s="4">
        <v>100</v>
      </c>
      <c r="F17" s="4">
        <v>50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1:40" x14ac:dyDescent="0.2">
      <c r="A18" s="9" t="s">
        <v>29</v>
      </c>
      <c r="B18" s="20" t="s">
        <v>41</v>
      </c>
      <c r="C18" s="4">
        <v>25</v>
      </c>
      <c r="D18" s="4">
        <v>100</v>
      </c>
      <c r="E18" s="18">
        <v>70</v>
      </c>
      <c r="F18" s="4">
        <v>50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x14ac:dyDescent="0.2">
      <c r="A19" s="9" t="s">
        <v>30</v>
      </c>
      <c r="B19" s="20" t="s">
        <v>42</v>
      </c>
      <c r="C19" s="4">
        <v>25</v>
      </c>
      <c r="D19" s="4">
        <v>100</v>
      </c>
      <c r="E19" s="18">
        <v>50</v>
      </c>
      <c r="F19" s="4">
        <v>50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1:40" x14ac:dyDescent="0.2">
      <c r="A20" s="12">
        <v>3</v>
      </c>
      <c r="B20" s="13" t="s">
        <v>31</v>
      </c>
      <c r="C20" s="3">
        <f>SUM(C21:C25)</f>
        <v>100</v>
      </c>
      <c r="D20" s="10">
        <f t="shared" ref="D20:AN20" si="14">SUMPRODUCT(D21:D25,$C$21:$C$25)/100</f>
        <v>100</v>
      </c>
      <c r="E20" s="10">
        <f t="shared" si="14"/>
        <v>100</v>
      </c>
      <c r="F20" s="10">
        <f t="shared" si="14"/>
        <v>50</v>
      </c>
      <c r="G20" s="10">
        <f t="shared" si="14"/>
        <v>0</v>
      </c>
      <c r="H20" s="10">
        <f t="shared" si="14"/>
        <v>0</v>
      </c>
      <c r="I20" s="10">
        <f t="shared" si="14"/>
        <v>0</v>
      </c>
      <c r="J20" s="10">
        <f t="shared" si="14"/>
        <v>0</v>
      </c>
      <c r="K20" s="10">
        <f t="shared" si="14"/>
        <v>0</v>
      </c>
      <c r="L20" s="10">
        <f t="shared" si="14"/>
        <v>0</v>
      </c>
      <c r="M20" s="10">
        <f t="shared" si="14"/>
        <v>0</v>
      </c>
      <c r="N20" s="10">
        <f t="shared" si="14"/>
        <v>0</v>
      </c>
      <c r="O20" s="10">
        <f t="shared" si="14"/>
        <v>0</v>
      </c>
      <c r="P20" s="10">
        <f t="shared" si="14"/>
        <v>0</v>
      </c>
      <c r="Q20" s="10">
        <f t="shared" si="14"/>
        <v>0</v>
      </c>
      <c r="R20" s="10">
        <f t="shared" si="14"/>
        <v>0</v>
      </c>
      <c r="S20" s="10">
        <f t="shared" si="14"/>
        <v>0</v>
      </c>
      <c r="T20" s="10">
        <f t="shared" si="14"/>
        <v>0</v>
      </c>
      <c r="U20" s="10">
        <f t="shared" si="14"/>
        <v>0</v>
      </c>
      <c r="V20" s="10">
        <f t="shared" si="14"/>
        <v>0</v>
      </c>
      <c r="W20" s="10">
        <f t="shared" si="14"/>
        <v>0</v>
      </c>
      <c r="X20" s="10">
        <f t="shared" si="14"/>
        <v>0</v>
      </c>
      <c r="Y20" s="10">
        <f t="shared" si="14"/>
        <v>0</v>
      </c>
      <c r="Z20" s="10">
        <f t="shared" si="14"/>
        <v>0</v>
      </c>
      <c r="AA20" s="10">
        <f t="shared" si="14"/>
        <v>0</v>
      </c>
      <c r="AB20" s="10">
        <f t="shared" si="14"/>
        <v>0</v>
      </c>
      <c r="AC20" s="10">
        <f t="shared" si="14"/>
        <v>0</v>
      </c>
      <c r="AD20" s="10">
        <f t="shared" si="14"/>
        <v>0</v>
      </c>
      <c r="AE20" s="10">
        <f t="shared" si="14"/>
        <v>0</v>
      </c>
      <c r="AF20" s="10">
        <f t="shared" si="14"/>
        <v>0</v>
      </c>
      <c r="AG20" s="10">
        <f t="shared" si="14"/>
        <v>0</v>
      </c>
      <c r="AH20" s="10">
        <f t="shared" si="14"/>
        <v>0</v>
      </c>
      <c r="AI20" s="10">
        <f t="shared" si="14"/>
        <v>0</v>
      </c>
      <c r="AJ20" s="10">
        <f t="shared" si="14"/>
        <v>0</v>
      </c>
      <c r="AK20" s="10">
        <f t="shared" si="14"/>
        <v>0</v>
      </c>
      <c r="AL20" s="10">
        <f t="shared" si="14"/>
        <v>0</v>
      </c>
      <c r="AM20" s="10">
        <f t="shared" si="14"/>
        <v>0</v>
      </c>
      <c r="AN20" s="10">
        <f t="shared" si="14"/>
        <v>0</v>
      </c>
    </row>
    <row r="21" spans="1:40" x14ac:dyDescent="0.2">
      <c r="A21" s="9" t="s">
        <v>32</v>
      </c>
      <c r="B21" s="7" t="s">
        <v>46</v>
      </c>
      <c r="C21" s="4" t="s">
        <v>12</v>
      </c>
      <c r="D21" s="4">
        <v>100</v>
      </c>
      <c r="E21" s="4">
        <v>100</v>
      </c>
      <c r="F21" s="4">
        <v>50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</row>
    <row r="22" spans="1:40" x14ac:dyDescent="0.2">
      <c r="A22" s="9" t="s">
        <v>52</v>
      </c>
      <c r="B22" s="20" t="s">
        <v>47</v>
      </c>
      <c r="C22" s="4">
        <v>20</v>
      </c>
      <c r="D22" s="4">
        <v>100</v>
      </c>
      <c r="E22" s="4">
        <v>100</v>
      </c>
      <c r="F22" s="4">
        <v>50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spans="1:40" x14ac:dyDescent="0.2">
      <c r="A23" s="9" t="s">
        <v>53</v>
      </c>
      <c r="B23" s="21" t="s">
        <v>48</v>
      </c>
      <c r="C23" s="4">
        <v>15</v>
      </c>
      <c r="D23" s="4">
        <v>100</v>
      </c>
      <c r="E23" s="4">
        <v>100</v>
      </c>
      <c r="F23" s="4">
        <v>50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</row>
    <row r="24" spans="1:40" x14ac:dyDescent="0.2">
      <c r="A24" s="9" t="s">
        <v>33</v>
      </c>
      <c r="B24" s="14" t="s">
        <v>49</v>
      </c>
      <c r="C24" s="4">
        <v>15</v>
      </c>
      <c r="D24" s="4">
        <v>100</v>
      </c>
      <c r="E24" s="4">
        <v>100</v>
      </c>
      <c r="F24" s="4">
        <v>50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spans="1:40" s="4" customFormat="1" x14ac:dyDescent="0.2">
      <c r="A25" s="9" t="s">
        <v>34</v>
      </c>
      <c r="B25" s="14" t="s">
        <v>35</v>
      </c>
      <c r="C25" s="4">
        <v>50</v>
      </c>
      <c r="D25" s="4">
        <v>100</v>
      </c>
      <c r="E25" s="4">
        <v>100</v>
      </c>
      <c r="F25" s="4">
        <v>50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</row>
    <row r="26" spans="1:40" s="4" customFormat="1" x14ac:dyDescent="0.2">
      <c r="A26" s="9"/>
      <c r="B26" s="11" t="s">
        <v>36</v>
      </c>
      <c r="C26" s="10">
        <f>C3+C14+C20</f>
        <v>340</v>
      </c>
      <c r="D26" s="10">
        <f>MIN(D20,100)*0.2+MIN(D14,100)*0.4+MIN(D3,100)*0.4</f>
        <v>100</v>
      </c>
      <c r="E26" s="10">
        <f>MIN(E20,100)*0.2+MIN(E14,100)*0.4+MIN(E3,100)*0.4</f>
        <v>100</v>
      </c>
      <c r="F26" s="10">
        <f t="shared" ref="F26:AN26" si="15">(F20*0.2+F14*0.4+F3*0.4)</f>
        <v>58</v>
      </c>
      <c r="G26" s="10">
        <f t="shared" si="15"/>
        <v>0</v>
      </c>
      <c r="H26" s="10">
        <f t="shared" si="15"/>
        <v>0</v>
      </c>
      <c r="I26" s="10">
        <f t="shared" si="15"/>
        <v>0</v>
      </c>
      <c r="J26" s="10">
        <f t="shared" si="15"/>
        <v>0</v>
      </c>
      <c r="K26" s="10">
        <f t="shared" si="15"/>
        <v>0</v>
      </c>
      <c r="L26" s="10">
        <f t="shared" si="15"/>
        <v>0</v>
      </c>
      <c r="M26" s="10">
        <f t="shared" si="15"/>
        <v>0</v>
      </c>
      <c r="N26" s="10">
        <f t="shared" si="15"/>
        <v>0</v>
      </c>
      <c r="O26" s="10">
        <f t="shared" si="15"/>
        <v>0</v>
      </c>
      <c r="P26" s="10">
        <f t="shared" si="15"/>
        <v>0</v>
      </c>
      <c r="Q26" s="10">
        <f t="shared" si="15"/>
        <v>0</v>
      </c>
      <c r="R26" s="10">
        <f t="shared" si="15"/>
        <v>0</v>
      </c>
      <c r="S26" s="10">
        <f t="shared" si="15"/>
        <v>0</v>
      </c>
      <c r="T26" s="10">
        <f t="shared" si="15"/>
        <v>0</v>
      </c>
      <c r="U26" s="10">
        <f t="shared" si="15"/>
        <v>0</v>
      </c>
      <c r="V26" s="10">
        <f t="shared" si="15"/>
        <v>0</v>
      </c>
      <c r="W26" s="10">
        <f t="shared" si="15"/>
        <v>0</v>
      </c>
      <c r="X26" s="10">
        <f t="shared" si="15"/>
        <v>0</v>
      </c>
      <c r="Y26" s="10">
        <f t="shared" si="15"/>
        <v>0</v>
      </c>
      <c r="Z26" s="10">
        <f t="shared" si="15"/>
        <v>0</v>
      </c>
      <c r="AA26" s="10">
        <f t="shared" si="15"/>
        <v>0</v>
      </c>
      <c r="AB26" s="10">
        <f t="shared" si="15"/>
        <v>0</v>
      </c>
      <c r="AC26" s="10">
        <f t="shared" si="15"/>
        <v>0</v>
      </c>
      <c r="AD26" s="10">
        <f t="shared" si="15"/>
        <v>0</v>
      </c>
      <c r="AE26" s="10">
        <f t="shared" si="15"/>
        <v>0</v>
      </c>
      <c r="AF26" s="10">
        <f t="shared" si="15"/>
        <v>0</v>
      </c>
      <c r="AG26" s="10">
        <f t="shared" si="15"/>
        <v>0</v>
      </c>
      <c r="AH26" s="10">
        <f t="shared" si="15"/>
        <v>0</v>
      </c>
      <c r="AI26" s="10">
        <f t="shared" si="15"/>
        <v>0</v>
      </c>
      <c r="AJ26" s="10">
        <f t="shared" si="15"/>
        <v>0</v>
      </c>
      <c r="AK26" s="10">
        <f t="shared" si="15"/>
        <v>0</v>
      </c>
      <c r="AL26" s="10">
        <f t="shared" si="15"/>
        <v>0</v>
      </c>
      <c r="AM26" s="10">
        <f t="shared" si="15"/>
        <v>0</v>
      </c>
      <c r="AN26" s="10">
        <f t="shared" si="15"/>
        <v>0</v>
      </c>
    </row>
    <row r="27" spans="1:40" s="4" customFormat="1" x14ac:dyDescent="0.2">
      <c r="A27" s="9"/>
      <c r="B27" s="11" t="s">
        <v>37</v>
      </c>
      <c r="C27" s="10" t="s">
        <v>12</v>
      </c>
      <c r="D27" s="10">
        <f>MIN(D26*20/100,20)</f>
        <v>20</v>
      </c>
      <c r="E27" s="19">
        <f>MIN(E26*20/100,20)</f>
        <v>20</v>
      </c>
      <c r="F27" s="10">
        <f>MIN(F26*20/100,20)</f>
        <v>11.6</v>
      </c>
      <c r="G27" s="10">
        <f>MIN(G26*20/100,20)</f>
        <v>0</v>
      </c>
      <c r="H27" s="10">
        <f t="shared" ref="H27:AA27" si="16">MIN(H26*20/100,20)</f>
        <v>0</v>
      </c>
      <c r="I27" s="10">
        <f t="shared" si="16"/>
        <v>0</v>
      </c>
      <c r="J27" s="10">
        <f t="shared" si="16"/>
        <v>0</v>
      </c>
      <c r="K27" s="10">
        <f t="shared" si="16"/>
        <v>0</v>
      </c>
      <c r="L27" s="10">
        <f t="shared" si="16"/>
        <v>0</v>
      </c>
      <c r="M27" s="10">
        <f t="shared" si="16"/>
        <v>0</v>
      </c>
      <c r="N27" s="10">
        <f t="shared" si="16"/>
        <v>0</v>
      </c>
      <c r="O27" s="10">
        <f t="shared" si="16"/>
        <v>0</v>
      </c>
      <c r="P27" s="10">
        <f t="shared" si="16"/>
        <v>0</v>
      </c>
      <c r="Q27" s="10">
        <f t="shared" si="16"/>
        <v>0</v>
      </c>
      <c r="R27" s="10">
        <f t="shared" si="16"/>
        <v>0</v>
      </c>
      <c r="S27" s="10">
        <f t="shared" si="16"/>
        <v>0</v>
      </c>
      <c r="T27" s="10">
        <f t="shared" si="16"/>
        <v>0</v>
      </c>
      <c r="U27" s="10">
        <f t="shared" si="16"/>
        <v>0</v>
      </c>
      <c r="V27" s="10">
        <f t="shared" si="16"/>
        <v>0</v>
      </c>
      <c r="W27" s="10">
        <f t="shared" si="16"/>
        <v>0</v>
      </c>
      <c r="X27" s="10">
        <f t="shared" si="16"/>
        <v>0</v>
      </c>
      <c r="Y27" s="10">
        <f t="shared" si="16"/>
        <v>0</v>
      </c>
      <c r="Z27" s="10">
        <f t="shared" si="16"/>
        <v>0</v>
      </c>
      <c r="AA27" s="10">
        <f t="shared" si="16"/>
        <v>0</v>
      </c>
      <c r="AB27" s="10">
        <f>MIN(AB26*20/100,20)</f>
        <v>0</v>
      </c>
      <c r="AC27" s="10">
        <f t="shared" ref="AC27" si="17">MIN(AC26*20/100,20)</f>
        <v>0</v>
      </c>
      <c r="AD27" s="10">
        <f t="shared" ref="AD27" si="18">MIN(AD26*20/100,20)</f>
        <v>0</v>
      </c>
      <c r="AE27" s="10">
        <f t="shared" ref="AE27" si="19">MIN(AE26*20/100,20)</f>
        <v>0</v>
      </c>
      <c r="AF27" s="10">
        <f t="shared" ref="AF27" si="20">MIN(AF26*20/100,20)</f>
        <v>0</v>
      </c>
      <c r="AG27" s="10">
        <f t="shared" ref="AG27" si="21">MIN(AG26*20/100,20)</f>
        <v>0</v>
      </c>
      <c r="AH27" s="10">
        <f t="shared" ref="AH27" si="22">MIN(AH26*20/100,20)</f>
        <v>0</v>
      </c>
      <c r="AI27" s="10">
        <f t="shared" ref="AI27" si="23">MIN(AI26*20/100,20)</f>
        <v>0</v>
      </c>
      <c r="AJ27" s="10">
        <f t="shared" ref="AJ27" si="24">MIN(AJ26*20/100,20)</f>
        <v>0</v>
      </c>
      <c r="AK27" s="10">
        <f t="shared" ref="AK27" si="25">MIN(AK26*20/100,20)</f>
        <v>0</v>
      </c>
      <c r="AL27" s="10">
        <f t="shared" ref="AL27" si="26">MIN(AL26*20/100,20)</f>
        <v>0</v>
      </c>
      <c r="AM27" s="10">
        <f t="shared" ref="AM27" si="27">MIN(AM26*20/100,20)</f>
        <v>0</v>
      </c>
      <c r="AN27" s="10">
        <f t="shared" ref="AN27" si="28">MIN(AN26*20/100,20)</f>
        <v>0</v>
      </c>
    </row>
    <row r="28" spans="1:40" s="4" customFormat="1" x14ac:dyDescent="0.2">
      <c r="A28" s="9"/>
      <c r="B28" s="8"/>
      <c r="G28"/>
      <c r="H28"/>
      <c r="I28"/>
      <c r="J28"/>
    </row>
    <row r="29" spans="1:40" s="4" customFormat="1" x14ac:dyDescent="0.2">
      <c r="A29" s="9"/>
      <c r="B29" s="8"/>
      <c r="G29"/>
      <c r="H29"/>
      <c r="I29"/>
      <c r="J29"/>
    </row>
    <row r="30" spans="1:40" s="4" customFormat="1" x14ac:dyDescent="0.2">
      <c r="A30" s="9"/>
      <c r="B30" s="8"/>
      <c r="G30"/>
      <c r="H30"/>
      <c r="I30"/>
      <c r="J30"/>
    </row>
    <row r="31" spans="1:40" s="4" customFormat="1" x14ac:dyDescent="0.2">
      <c r="A31" s="9"/>
      <c r="B31" s="8"/>
      <c r="G31"/>
      <c r="H31"/>
      <c r="I31"/>
      <c r="J31"/>
    </row>
    <row r="32" spans="1:40" s="4" customFormat="1" x14ac:dyDescent="0.2">
      <c r="A32" s="9"/>
      <c r="B32" s="8"/>
      <c r="G32"/>
      <c r="H32"/>
      <c r="I32"/>
      <c r="J32"/>
    </row>
    <row r="33" spans="1:10" s="4" customFormat="1" x14ac:dyDescent="0.2">
      <c r="A33" s="9"/>
      <c r="B33" s="8"/>
      <c r="G33"/>
      <c r="H33"/>
      <c r="I33"/>
      <c r="J33"/>
    </row>
    <row r="34" spans="1:10" s="4" customFormat="1" x14ac:dyDescent="0.2">
      <c r="A34" s="9"/>
      <c r="B34" s="7"/>
      <c r="G34"/>
      <c r="H34"/>
      <c r="I34"/>
      <c r="J34"/>
    </row>
    <row r="35" spans="1:10" s="4" customFormat="1" x14ac:dyDescent="0.2">
      <c r="A35" s="9"/>
      <c r="B35" s="7"/>
      <c r="G35"/>
      <c r="H35"/>
      <c r="I35"/>
      <c r="J35"/>
    </row>
    <row r="36" spans="1:10" s="4" customFormat="1" x14ac:dyDescent="0.2">
      <c r="A36" s="9"/>
      <c r="B36" s="6"/>
      <c r="G36"/>
      <c r="H36"/>
      <c r="I36"/>
      <c r="J36"/>
    </row>
  </sheetData>
  <sheetProtection algorithmName="SHA-512" hashValue="OPJlFQsWJC/GYsb5jz2l1z1zuUCPyNiu6Ql+aZV7VZpdxM7kT4D07tm0D0TrKHu3utug+poQBLa9S+OmmUdpmA==" saltValue="9Lz1v6XViJ8KkmBOUdXAKg==" spinCount="100000" sheet="1" objects="1" scenarios="1"/>
  <mergeCells count="6">
    <mergeCell ref="A1:A2"/>
    <mergeCell ref="B1:B2"/>
    <mergeCell ref="C1:C2"/>
    <mergeCell ref="D1:D2"/>
    <mergeCell ref="F1:F2"/>
    <mergeCell ref="E1:E2"/>
  </mergeCells>
  <dataValidations count="1">
    <dataValidation type="whole" allowBlank="1" showInputMessage="1" showErrorMessage="1" sqref="G6:AN13 G15:AN19 G4:AN4 G21:AN25" xr:uid="{60DBCCD5-0A49-F945-8799-4F0BDE637A73}">
      <formula1>0</formula1>
      <formula2>100</formula2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Nuno Silva</dc:creator>
  <cp:keywords/>
  <dc:description/>
  <cp:lastModifiedBy>Nuno Silva</cp:lastModifiedBy>
  <cp:revision/>
  <dcterms:created xsi:type="dcterms:W3CDTF">2023-12-04T11:12:51Z</dcterms:created>
  <dcterms:modified xsi:type="dcterms:W3CDTF">2025-10-13T21:54:30Z</dcterms:modified>
  <cp:category/>
  <cp:contentStatus/>
</cp:coreProperties>
</file>