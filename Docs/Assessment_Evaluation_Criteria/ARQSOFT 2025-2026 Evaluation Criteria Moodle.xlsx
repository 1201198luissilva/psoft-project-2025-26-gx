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nps_isep_ipp_pt/Documents/Ensino/ARQSOFT+ODSOFT/ARQSOFT+ODSOFT 2025-2026/Project/ARQSOFT/"/>
    </mc:Choice>
  </mc:AlternateContent>
  <xr:revisionPtr revIDLastSave="10" documentId="8_{3FD3784C-097D-E04D-B495-6EAFB4329B52}" xr6:coauthVersionLast="47" xr6:coauthVersionMax="47" xr10:uidLastSave="{ABD539A0-21DA-7743-ACAB-DC2D870C18C0}"/>
  <workbookProtection workbookAlgorithmName="SHA-512" workbookHashValue="5W/p2BIkAtw04Fd9Rn0+KN9yu5saiNC2UnpY/320pI0tNeTvQsyykrHUY4g4Mio1I7AXpWm0ppA+9/9X8EUt6g==" workbookSaltValue="24FSu0yhqogtk22hL4IoRg==" workbookSpinCount="100000" lockStructure="1"/>
  <bookViews>
    <workbookView xWindow="-2740" yWindow="-20980" windowWidth="38400" windowHeight="20980" xr2:uid="{9EC37D58-D78D-9949-BBF9-6702CF440053}"/>
  </bookViews>
  <sheets>
    <sheet name="P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3" l="1"/>
  <c r="F9" i="3" l="1"/>
  <c r="G9" i="3"/>
  <c r="H9" i="3"/>
  <c r="I9" i="3"/>
  <c r="J9" i="3"/>
  <c r="K9" i="3"/>
  <c r="L9" i="3"/>
  <c r="L18" i="3" s="1"/>
  <c r="L19" i="3" s="1"/>
  <c r="M9" i="3"/>
  <c r="N9" i="3"/>
  <c r="O9" i="3"/>
  <c r="P9" i="3"/>
  <c r="Q9" i="3"/>
  <c r="R9" i="3"/>
  <c r="S9" i="3"/>
  <c r="T9" i="3"/>
  <c r="T18" i="3" s="1"/>
  <c r="T19" i="3" s="1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E9" i="3"/>
  <c r="D9" i="3"/>
  <c r="D19" i="3" s="1"/>
  <c r="C9" i="3"/>
  <c r="E3" i="3"/>
  <c r="G3" i="3"/>
  <c r="H3" i="3"/>
  <c r="I3" i="3"/>
  <c r="J3" i="3"/>
  <c r="K3" i="3"/>
  <c r="L3" i="3"/>
  <c r="M3" i="3"/>
  <c r="N3" i="3"/>
  <c r="O3" i="3"/>
  <c r="P3" i="3"/>
  <c r="P18" i="3" s="1"/>
  <c r="P19" i="3" s="1"/>
  <c r="Q3" i="3"/>
  <c r="R3" i="3"/>
  <c r="S3" i="3"/>
  <c r="T3" i="3"/>
  <c r="U3" i="3"/>
  <c r="V3" i="3"/>
  <c r="W3" i="3"/>
  <c r="X3" i="3"/>
  <c r="X18" i="3" s="1"/>
  <c r="X19" i="3" s="1"/>
  <c r="Y3" i="3"/>
  <c r="Z3" i="3"/>
  <c r="AA3" i="3"/>
  <c r="AB3" i="3"/>
  <c r="AC3" i="3"/>
  <c r="AD3" i="3"/>
  <c r="AE3" i="3"/>
  <c r="AF3" i="3"/>
  <c r="AF18" i="3" s="1"/>
  <c r="AF19" i="3" s="1"/>
  <c r="AG3" i="3"/>
  <c r="AH3" i="3"/>
  <c r="AI3" i="3"/>
  <c r="AJ3" i="3"/>
  <c r="AK3" i="3"/>
  <c r="AL3" i="3"/>
  <c r="AM3" i="3"/>
  <c r="AN3" i="3"/>
  <c r="AN18" i="3" s="1"/>
  <c r="AN19" i="3" s="1"/>
  <c r="F3" i="3"/>
  <c r="D3" i="3"/>
  <c r="C3" i="3"/>
  <c r="AC18" i="3" l="1"/>
  <c r="AC19" i="3" s="1"/>
  <c r="U18" i="3"/>
  <c r="U19" i="3" s="1"/>
  <c r="M18" i="3"/>
  <c r="M19" i="3" s="1"/>
  <c r="H18" i="3"/>
  <c r="H19" i="3" s="1"/>
  <c r="N18" i="3"/>
  <c r="N19" i="3" s="1"/>
  <c r="S18" i="3"/>
  <c r="S19" i="3" s="1"/>
  <c r="AE18" i="3"/>
  <c r="AE19" i="3" s="1"/>
  <c r="O18" i="3"/>
  <c r="O19" i="3" s="1"/>
  <c r="AD18" i="3"/>
  <c r="AD19" i="3" s="1"/>
  <c r="C18" i="3"/>
  <c r="AI18" i="3"/>
  <c r="AI19" i="3" s="1"/>
  <c r="AM18" i="3"/>
  <c r="AM19" i="3" s="1"/>
  <c r="AL18" i="3"/>
  <c r="AL19" i="3" s="1"/>
  <c r="V18" i="3"/>
  <c r="V19" i="3" s="1"/>
  <c r="AK18" i="3"/>
  <c r="AK19" i="3" s="1"/>
  <c r="AH18" i="3"/>
  <c r="AH19" i="3" s="1"/>
  <c r="R18" i="3"/>
  <c r="R19" i="3" s="1"/>
  <c r="F18" i="3"/>
  <c r="F19" i="3" s="1"/>
  <c r="AG18" i="3"/>
  <c r="AG19" i="3" s="1"/>
  <c r="Y18" i="3"/>
  <c r="Y19" i="3" s="1"/>
  <c r="Q18" i="3"/>
  <c r="Q19" i="3" s="1"/>
  <c r="AA18" i="3"/>
  <c r="AA19" i="3" s="1"/>
  <c r="W18" i="3"/>
  <c r="W19" i="3" s="1"/>
  <c r="G18" i="3"/>
  <c r="G19" i="3" s="1"/>
  <c r="AJ18" i="3"/>
  <c r="AJ19" i="3" s="1"/>
  <c r="AB18" i="3"/>
  <c r="AB19" i="3" s="1"/>
  <c r="Z18" i="3"/>
  <c r="Z19" i="3" s="1"/>
  <c r="J18" i="3"/>
  <c r="J19" i="3" s="1"/>
  <c r="I18" i="3"/>
  <c r="I19" i="3" s="1"/>
  <c r="K18" i="3"/>
  <c r="K19" i="3" s="1"/>
  <c r="E18" i="3"/>
  <c r="E19" i="3" s="1"/>
</calcChain>
</file>

<file path=xl/sharedStrings.xml><?xml version="1.0" encoding="utf-8"?>
<sst xmlns="http://schemas.openxmlformats.org/spreadsheetml/2006/main" count="143" uniqueCount="38">
  <si>
    <t>#</t>
  </si>
  <si>
    <t>Criteria</t>
  </si>
  <si>
    <t>Weight</t>
  </si>
  <si>
    <t>Example 1</t>
  </si>
  <si>
    <t>Example 2</t>
  </si>
  <si>
    <t>Example 3</t>
  </si>
  <si>
    <t>(number)</t>
  </si>
  <si>
    <t>(name)</t>
  </si>
  <si>
    <t>The application is architecturally well designed</t>
  </si>
  <si>
    <t>1.1</t>
  </si>
  <si>
    <t>Addresses requirements</t>
  </si>
  <si>
    <t>1.2</t>
  </si>
  <si>
    <t>Explains and justify design decisions (through the adoption of ADD, technical memos, and other artifacts)</t>
  </si>
  <si>
    <t>1.3</t>
  </si>
  <si>
    <t>Presents design alternatives (through the adoption of ADD, technical memos, and other artifacts)</t>
  </si>
  <si>
    <t>1.4</t>
  </si>
  <si>
    <t>Presents visual models in descriptive UML and justifications for decisions and alternatives</t>
  </si>
  <si>
    <t>1.5</t>
  </si>
  <si>
    <t>Explains and justifies visual models</t>
  </si>
  <si>
    <t>The application is architecturally well implemented</t>
  </si>
  <si>
    <t>2.1</t>
  </si>
  <si>
    <t>Requirements are attained (assessed preferebly through automatic tests)</t>
  </si>
  <si>
    <t>2.2</t>
  </si>
  <si>
    <t>Explains implementation decisions and alternatives</t>
  </si>
  <si>
    <t>2.3</t>
  </si>
  <si>
    <t>-</t>
  </si>
  <si>
    <t>2.3.1</t>
  </si>
  <si>
    <t>2.3.2</t>
  </si>
  <si>
    <t>2.3.3</t>
  </si>
  <si>
    <t>2.3.4</t>
  </si>
  <si>
    <t>Total [0-100]:</t>
  </si>
  <si>
    <t>Grade: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</si>
  <si>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Functional opaque-box with SUT = classes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</si>
  <si>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Functional transparent-box with SUT = domain classes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</si>
  <si>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Mutation tests with SUT = classes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</si>
  <si>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Functional opaque-box with SUT = controller+service+{domain, repository, gateways}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</si>
  <si>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Functional opaque-box with SUT = system</t>
    </r>
  </si>
  <si>
    <r>
      <t xml:space="preserve">Presents and explains </t>
    </r>
    <r>
      <rPr>
        <u/>
        <sz val="12"/>
        <color rgb="FF000000"/>
        <rFont val="Calibri (Body)"/>
      </rPr>
      <t>significative</t>
    </r>
    <r>
      <rPr>
        <sz val="12"/>
        <color rgb="FF000000"/>
        <rFont val="Calibri"/>
        <family val="2"/>
        <scheme val="minor"/>
      </rPr>
      <t xml:space="preserve"> examples of automatic tests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</si>
</sst>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Symbol"/>
      <charset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2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indent="1"/>
    </xf>
    <xf numFmtId="0" fontId="5" fillId="0" borderId="0" xfId="0" applyFon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3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BEF0-369B-0C4C-98F3-3BE0E3702B99}">
  <dimension ref="A1:AN33"/>
  <sheetViews>
    <sheetView tabSelected="1" zoomScale="91" workbookViewId="0">
      <selection activeCell="G1" sqref="G1"/>
    </sheetView>
  </sheetViews>
  <sheetFormatPr baseColWidth="10" defaultColWidth="11" defaultRowHeight="16" x14ac:dyDescent="0.2"/>
  <cols>
    <col min="1" max="1" width="6" style="9" customWidth="1"/>
    <col min="2" max="2" width="95.1640625" customWidth="1"/>
    <col min="3" max="3" width="10.83203125" style="4"/>
  </cols>
  <sheetData>
    <row r="1" spans="1:40" x14ac:dyDescent="0.2">
      <c r="A1" s="19" t="s">
        <v>0</v>
      </c>
      <c r="B1" s="20" t="s">
        <v>1</v>
      </c>
      <c r="C1" s="21" t="s">
        <v>2</v>
      </c>
      <c r="D1" s="19" t="s">
        <v>3</v>
      </c>
      <c r="E1" s="19" t="s">
        <v>4</v>
      </c>
      <c r="F1" s="19" t="s">
        <v>5</v>
      </c>
      <c r="G1" s="14" t="s">
        <v>6</v>
      </c>
      <c r="H1" s="14" t="s">
        <v>6</v>
      </c>
      <c r="I1" s="14" t="s">
        <v>6</v>
      </c>
      <c r="J1" s="14" t="s">
        <v>6</v>
      </c>
      <c r="K1" s="14" t="s">
        <v>6</v>
      </c>
      <c r="L1" s="14" t="s">
        <v>6</v>
      </c>
      <c r="M1" s="14" t="s">
        <v>6</v>
      </c>
      <c r="N1" s="14" t="s">
        <v>6</v>
      </c>
      <c r="O1" s="14" t="s">
        <v>6</v>
      </c>
      <c r="P1" s="14" t="s">
        <v>6</v>
      </c>
      <c r="Q1" s="14" t="s">
        <v>6</v>
      </c>
      <c r="R1" s="14" t="s">
        <v>6</v>
      </c>
      <c r="S1" s="14" t="s">
        <v>6</v>
      </c>
      <c r="T1" s="14" t="s">
        <v>6</v>
      </c>
      <c r="U1" s="14" t="s">
        <v>6</v>
      </c>
      <c r="V1" s="14" t="s">
        <v>6</v>
      </c>
      <c r="W1" s="14" t="s">
        <v>6</v>
      </c>
      <c r="X1" s="14" t="s">
        <v>6</v>
      </c>
      <c r="Y1" s="14" t="s">
        <v>6</v>
      </c>
      <c r="Z1" s="14" t="s">
        <v>6</v>
      </c>
      <c r="AA1" s="14" t="s">
        <v>6</v>
      </c>
      <c r="AB1" s="14" t="s">
        <v>6</v>
      </c>
      <c r="AC1" s="14" t="s">
        <v>6</v>
      </c>
      <c r="AD1" s="14" t="s">
        <v>6</v>
      </c>
      <c r="AE1" s="14" t="s">
        <v>6</v>
      </c>
      <c r="AF1" s="14" t="s">
        <v>6</v>
      </c>
      <c r="AG1" s="14" t="s">
        <v>6</v>
      </c>
      <c r="AH1" s="14" t="s">
        <v>6</v>
      </c>
      <c r="AI1" s="14" t="s">
        <v>6</v>
      </c>
      <c r="AJ1" s="14" t="s">
        <v>6</v>
      </c>
      <c r="AK1" s="14" t="s">
        <v>6</v>
      </c>
      <c r="AL1" s="14" t="s">
        <v>6</v>
      </c>
      <c r="AM1" s="14" t="s">
        <v>6</v>
      </c>
      <c r="AN1" s="14" t="s">
        <v>6</v>
      </c>
    </row>
    <row r="2" spans="1:40" x14ac:dyDescent="0.2">
      <c r="A2" s="19"/>
      <c r="B2" s="20"/>
      <c r="C2" s="21"/>
      <c r="D2" s="19"/>
      <c r="E2" s="19"/>
      <c r="F2" s="19"/>
      <c r="G2" s="14" t="s">
        <v>7</v>
      </c>
      <c r="H2" s="14" t="s">
        <v>7</v>
      </c>
      <c r="I2" s="14" t="s">
        <v>7</v>
      </c>
      <c r="J2" s="14" t="s">
        <v>7</v>
      </c>
      <c r="K2" s="14" t="s">
        <v>7</v>
      </c>
      <c r="L2" s="14" t="s">
        <v>7</v>
      </c>
      <c r="M2" s="14" t="s">
        <v>7</v>
      </c>
      <c r="N2" s="14" t="s">
        <v>7</v>
      </c>
      <c r="O2" s="14" t="s">
        <v>7</v>
      </c>
      <c r="P2" s="14" t="s">
        <v>7</v>
      </c>
      <c r="Q2" s="14" t="s">
        <v>7</v>
      </c>
      <c r="R2" s="14" t="s">
        <v>7</v>
      </c>
      <c r="S2" s="14" t="s">
        <v>7</v>
      </c>
      <c r="T2" s="14" t="s">
        <v>7</v>
      </c>
      <c r="U2" s="14" t="s">
        <v>7</v>
      </c>
      <c r="V2" s="14" t="s">
        <v>7</v>
      </c>
      <c r="W2" s="14" t="s">
        <v>7</v>
      </c>
      <c r="X2" s="14" t="s">
        <v>7</v>
      </c>
      <c r="Y2" s="14" t="s">
        <v>7</v>
      </c>
      <c r="Z2" s="14" t="s">
        <v>7</v>
      </c>
      <c r="AA2" s="14" t="s">
        <v>7</v>
      </c>
      <c r="AB2" s="14" t="s">
        <v>7</v>
      </c>
      <c r="AC2" s="14" t="s">
        <v>7</v>
      </c>
      <c r="AD2" s="14" t="s">
        <v>7</v>
      </c>
      <c r="AE2" s="14" t="s">
        <v>7</v>
      </c>
      <c r="AF2" s="14" t="s">
        <v>7</v>
      </c>
      <c r="AG2" s="14" t="s">
        <v>7</v>
      </c>
      <c r="AH2" s="14" t="s">
        <v>7</v>
      </c>
      <c r="AI2" s="14" t="s">
        <v>7</v>
      </c>
      <c r="AJ2" s="14" t="s">
        <v>7</v>
      </c>
      <c r="AK2" s="14" t="s">
        <v>7</v>
      </c>
      <c r="AL2" s="14" t="s">
        <v>7</v>
      </c>
      <c r="AM2" s="14" t="s">
        <v>7</v>
      </c>
      <c r="AN2" s="14" t="s">
        <v>7</v>
      </c>
    </row>
    <row r="3" spans="1:40" x14ac:dyDescent="0.2">
      <c r="A3" s="12">
        <v>1</v>
      </c>
      <c r="B3" s="1" t="s">
        <v>8</v>
      </c>
      <c r="C3" s="3">
        <f>SUM(C4:C8)</f>
        <v>115</v>
      </c>
      <c r="D3" s="12">
        <f>SUMPRODUCT($C$4:$C$8,D4:D8)/100</f>
        <v>115</v>
      </c>
      <c r="E3" s="12">
        <f>SUMPRODUCT($C$4:$C$8,E4:E8)/100</f>
        <v>100.3</v>
      </c>
      <c r="F3" s="12">
        <f>SUMPRODUCT($C$4:$C$8,F4:F8)/100</f>
        <v>57.5</v>
      </c>
      <c r="G3" s="12">
        <f t="shared" ref="G3:AN3" si="0">SUMPRODUCT($C$4:$C$8,G4:G8)/100</f>
        <v>0</v>
      </c>
      <c r="H3" s="12">
        <f t="shared" si="0"/>
        <v>0</v>
      </c>
      <c r="I3" s="12">
        <f t="shared" si="0"/>
        <v>0</v>
      </c>
      <c r="J3" s="12">
        <f t="shared" si="0"/>
        <v>0</v>
      </c>
      <c r="K3" s="12">
        <f t="shared" si="0"/>
        <v>0</v>
      </c>
      <c r="L3" s="12">
        <f t="shared" si="0"/>
        <v>0</v>
      </c>
      <c r="M3" s="12">
        <f t="shared" si="0"/>
        <v>0</v>
      </c>
      <c r="N3" s="12">
        <f t="shared" si="0"/>
        <v>0</v>
      </c>
      <c r="O3" s="12">
        <f t="shared" si="0"/>
        <v>0</v>
      </c>
      <c r="P3" s="12">
        <f t="shared" si="0"/>
        <v>0</v>
      </c>
      <c r="Q3" s="12">
        <f t="shared" si="0"/>
        <v>0</v>
      </c>
      <c r="R3" s="12">
        <f t="shared" si="0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  <c r="AJ3" s="12">
        <f t="shared" si="0"/>
        <v>0</v>
      </c>
      <c r="AK3" s="12">
        <f t="shared" si="0"/>
        <v>0</v>
      </c>
      <c r="AL3" s="12">
        <f t="shared" si="0"/>
        <v>0</v>
      </c>
      <c r="AM3" s="12">
        <f t="shared" si="0"/>
        <v>0</v>
      </c>
      <c r="AN3" s="12">
        <f t="shared" si="0"/>
        <v>0</v>
      </c>
    </row>
    <row r="4" spans="1:40" x14ac:dyDescent="0.2">
      <c r="A4" s="9" t="s">
        <v>9</v>
      </c>
      <c r="B4" s="5" t="s">
        <v>10</v>
      </c>
      <c r="C4" s="2">
        <v>40</v>
      </c>
      <c r="D4" s="9">
        <v>100</v>
      </c>
      <c r="E4" s="9">
        <v>100</v>
      </c>
      <c r="F4" s="9">
        <v>50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x14ac:dyDescent="0.2">
      <c r="A5" s="9" t="s">
        <v>11</v>
      </c>
      <c r="B5" s="5" t="s">
        <v>12</v>
      </c>
      <c r="C5" s="23">
        <v>40</v>
      </c>
      <c r="D5" s="24">
        <v>100</v>
      </c>
      <c r="E5" s="24">
        <v>100</v>
      </c>
      <c r="F5" s="24">
        <v>50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1:40" x14ac:dyDescent="0.2">
      <c r="A6" s="9" t="s">
        <v>13</v>
      </c>
      <c r="B6" s="5" t="s">
        <v>14</v>
      </c>
      <c r="C6" s="23"/>
      <c r="D6" s="24"/>
      <c r="E6" s="24"/>
      <c r="F6" s="24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 x14ac:dyDescent="0.2">
      <c r="A7" s="9" t="s">
        <v>15</v>
      </c>
      <c r="B7" s="5" t="s">
        <v>16</v>
      </c>
      <c r="C7" s="23">
        <v>35</v>
      </c>
      <c r="D7" s="24">
        <v>100</v>
      </c>
      <c r="E7" s="22">
        <v>58</v>
      </c>
      <c r="F7" s="24">
        <v>50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x14ac:dyDescent="0.2">
      <c r="A8" s="9" t="s">
        <v>17</v>
      </c>
      <c r="B8" s="5" t="s">
        <v>18</v>
      </c>
      <c r="C8" s="23"/>
      <c r="D8" s="24"/>
      <c r="E8" s="22"/>
      <c r="F8" s="24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 x14ac:dyDescent="0.2">
      <c r="A9" s="12">
        <v>2</v>
      </c>
      <c r="B9" s="1" t="s">
        <v>19</v>
      </c>
      <c r="C9" s="3">
        <f>SUM(C10:C17)</f>
        <v>115</v>
      </c>
      <c r="D9" s="12">
        <f>SUMPRODUCT($C$10:$C$17,D10:D17)/100</f>
        <v>115</v>
      </c>
      <c r="E9" s="12">
        <f>SUMPRODUCT($C$10:$C$17,E10:E17)/100</f>
        <v>103</v>
      </c>
      <c r="F9" s="12">
        <f t="shared" ref="F9:AN9" si="1">SUMPRODUCT($C$10:$C$17,F10:F17)/100</f>
        <v>57.5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12">
        <f t="shared" si="1"/>
        <v>0</v>
      </c>
      <c r="L9" s="12">
        <f t="shared" si="1"/>
        <v>0</v>
      </c>
      <c r="M9" s="12">
        <f t="shared" si="1"/>
        <v>0</v>
      </c>
      <c r="N9" s="12">
        <f t="shared" si="1"/>
        <v>0</v>
      </c>
      <c r="O9" s="12">
        <f t="shared" si="1"/>
        <v>0</v>
      </c>
      <c r="P9" s="12">
        <f t="shared" si="1"/>
        <v>0</v>
      </c>
      <c r="Q9" s="12">
        <f t="shared" si="1"/>
        <v>0</v>
      </c>
      <c r="R9" s="12">
        <f t="shared" si="1"/>
        <v>0</v>
      </c>
      <c r="S9" s="12">
        <f t="shared" si="1"/>
        <v>0</v>
      </c>
      <c r="T9" s="12">
        <f t="shared" si="1"/>
        <v>0</v>
      </c>
      <c r="U9" s="12">
        <f t="shared" si="1"/>
        <v>0</v>
      </c>
      <c r="V9" s="12">
        <f t="shared" si="1"/>
        <v>0</v>
      </c>
      <c r="W9" s="12">
        <f t="shared" si="1"/>
        <v>0</v>
      </c>
      <c r="X9" s="12">
        <f t="shared" si="1"/>
        <v>0</v>
      </c>
      <c r="Y9" s="12">
        <f t="shared" si="1"/>
        <v>0</v>
      </c>
      <c r="Z9" s="12">
        <f t="shared" si="1"/>
        <v>0</v>
      </c>
      <c r="AA9" s="12">
        <f t="shared" si="1"/>
        <v>0</v>
      </c>
      <c r="AB9" s="12">
        <f t="shared" si="1"/>
        <v>0</v>
      </c>
      <c r="AC9" s="12">
        <f t="shared" si="1"/>
        <v>0</v>
      </c>
      <c r="AD9" s="12">
        <f t="shared" si="1"/>
        <v>0</v>
      </c>
      <c r="AE9" s="12">
        <f t="shared" si="1"/>
        <v>0</v>
      </c>
      <c r="AF9" s="12">
        <f t="shared" si="1"/>
        <v>0</v>
      </c>
      <c r="AG9" s="12">
        <f t="shared" si="1"/>
        <v>0</v>
      </c>
      <c r="AH9" s="12">
        <f t="shared" si="1"/>
        <v>0</v>
      </c>
      <c r="AI9" s="12">
        <f t="shared" si="1"/>
        <v>0</v>
      </c>
      <c r="AJ9" s="12">
        <f t="shared" si="1"/>
        <v>0</v>
      </c>
      <c r="AK9" s="12">
        <f t="shared" si="1"/>
        <v>0</v>
      </c>
      <c r="AL9" s="12">
        <f t="shared" si="1"/>
        <v>0</v>
      </c>
      <c r="AM9" s="12">
        <f t="shared" si="1"/>
        <v>0</v>
      </c>
      <c r="AN9" s="12">
        <f t="shared" si="1"/>
        <v>0</v>
      </c>
    </row>
    <row r="10" spans="1:40" x14ac:dyDescent="0.2">
      <c r="A10" s="9" t="s">
        <v>20</v>
      </c>
      <c r="B10" s="5" t="s">
        <v>21</v>
      </c>
      <c r="C10" s="2">
        <v>20</v>
      </c>
      <c r="D10" s="9">
        <v>100</v>
      </c>
      <c r="E10" s="9">
        <v>100</v>
      </c>
      <c r="F10" s="9">
        <v>50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x14ac:dyDescent="0.2">
      <c r="A11" s="9" t="s">
        <v>22</v>
      </c>
      <c r="B11" s="5" t="s">
        <v>23</v>
      </c>
      <c r="C11" s="2">
        <v>20</v>
      </c>
      <c r="D11" s="9">
        <v>100</v>
      </c>
      <c r="E11" s="9">
        <v>100</v>
      </c>
      <c r="F11" s="9">
        <v>50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x14ac:dyDescent="0.2">
      <c r="A12" s="9" t="s">
        <v>24</v>
      </c>
      <c r="B12" s="5" t="s">
        <v>37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  <c r="Z12" s="2" t="s">
        <v>25</v>
      </c>
      <c r="AA12" s="2" t="s">
        <v>25</v>
      </c>
      <c r="AB12" s="2" t="s">
        <v>25</v>
      </c>
      <c r="AC12" s="2" t="s">
        <v>25</v>
      </c>
      <c r="AD12" s="2" t="s">
        <v>25</v>
      </c>
      <c r="AE12" s="2" t="s">
        <v>25</v>
      </c>
      <c r="AF12" s="2" t="s">
        <v>25</v>
      </c>
      <c r="AG12" s="2" t="s">
        <v>25</v>
      </c>
      <c r="AH12" s="2" t="s">
        <v>25</v>
      </c>
      <c r="AI12" s="2" t="s">
        <v>25</v>
      </c>
      <c r="AJ12" s="2" t="s">
        <v>25</v>
      </c>
      <c r="AK12" s="2" t="s">
        <v>25</v>
      </c>
      <c r="AL12" s="2" t="s">
        <v>25</v>
      </c>
      <c r="AM12" s="2" t="s">
        <v>25</v>
      </c>
      <c r="AN12" s="2" t="s">
        <v>25</v>
      </c>
    </row>
    <row r="13" spans="1:40" x14ac:dyDescent="0.2">
      <c r="A13" s="9" t="s">
        <v>26</v>
      </c>
      <c r="B13" s="17" t="s">
        <v>32</v>
      </c>
      <c r="C13" s="2">
        <v>15</v>
      </c>
      <c r="D13" s="9">
        <v>100</v>
      </c>
      <c r="E13" s="9">
        <v>100</v>
      </c>
      <c r="F13" s="9">
        <v>50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x14ac:dyDescent="0.2">
      <c r="A14" s="9" t="s">
        <v>27</v>
      </c>
      <c r="B14" s="17" t="s">
        <v>33</v>
      </c>
      <c r="C14" s="2">
        <v>15</v>
      </c>
      <c r="D14" s="9">
        <v>100</v>
      </c>
      <c r="E14" s="15">
        <v>80</v>
      </c>
      <c r="F14" s="9">
        <v>50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x14ac:dyDescent="0.2">
      <c r="A15" s="9" t="s">
        <v>28</v>
      </c>
      <c r="B15" s="17" t="s">
        <v>34</v>
      </c>
      <c r="C15" s="2">
        <v>15</v>
      </c>
      <c r="D15" s="9">
        <v>100</v>
      </c>
      <c r="E15" s="15">
        <v>80</v>
      </c>
      <c r="F15" s="9">
        <v>50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x14ac:dyDescent="0.2">
      <c r="A16" s="9" t="s">
        <v>29</v>
      </c>
      <c r="B16" s="17" t="s">
        <v>35</v>
      </c>
      <c r="C16" s="2">
        <v>15</v>
      </c>
      <c r="D16" s="9">
        <v>100</v>
      </c>
      <c r="E16" s="15">
        <v>80</v>
      </c>
      <c r="F16" s="9">
        <v>50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2">
      <c r="A17" s="9" t="s">
        <v>29</v>
      </c>
      <c r="B17" s="17" t="s">
        <v>36</v>
      </c>
      <c r="C17" s="4">
        <v>15</v>
      </c>
      <c r="D17" s="9">
        <v>100</v>
      </c>
      <c r="E17" s="15">
        <v>80</v>
      </c>
      <c r="F17" s="9">
        <v>50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x14ac:dyDescent="0.2">
      <c r="B18" s="11" t="s">
        <v>30</v>
      </c>
      <c r="C18" s="10">
        <f>C3+C9</f>
        <v>230</v>
      </c>
      <c r="D18" s="12">
        <f>MIN(D3,100)*0.5+MIN(D9,100)*0.5</f>
        <v>100</v>
      </c>
      <c r="E18" s="12">
        <f>MIN(E3,100)*0.5+MIN(E9,100)*0.5</f>
        <v>100</v>
      </c>
      <c r="F18" s="12">
        <f t="shared" ref="F18" si="2">MIN(F3,100)*0.5+MIN(F9,100)*0.5</f>
        <v>57.5</v>
      </c>
      <c r="G18" s="10">
        <f t="shared" ref="G18:AN18" si="3">MIN(G3,100)*0.5+MIN(G9,100)*0.5</f>
        <v>0</v>
      </c>
      <c r="H18" s="10">
        <f t="shared" si="3"/>
        <v>0</v>
      </c>
      <c r="I18" s="10">
        <f t="shared" si="3"/>
        <v>0</v>
      </c>
      <c r="J18" s="10">
        <f t="shared" si="3"/>
        <v>0</v>
      </c>
      <c r="K18" s="10">
        <f t="shared" si="3"/>
        <v>0</v>
      </c>
      <c r="L18" s="10">
        <f t="shared" si="3"/>
        <v>0</v>
      </c>
      <c r="M18" s="10">
        <f t="shared" si="3"/>
        <v>0</v>
      </c>
      <c r="N18" s="10">
        <f t="shared" si="3"/>
        <v>0</v>
      </c>
      <c r="O18" s="10">
        <f t="shared" si="3"/>
        <v>0</v>
      </c>
      <c r="P18" s="10">
        <f t="shared" si="3"/>
        <v>0</v>
      </c>
      <c r="Q18" s="10">
        <f t="shared" si="3"/>
        <v>0</v>
      </c>
      <c r="R18" s="10">
        <f t="shared" si="3"/>
        <v>0</v>
      </c>
      <c r="S18" s="10">
        <f t="shared" si="3"/>
        <v>0</v>
      </c>
      <c r="T18" s="10">
        <f t="shared" si="3"/>
        <v>0</v>
      </c>
      <c r="U18" s="10">
        <f t="shared" si="3"/>
        <v>0</v>
      </c>
      <c r="V18" s="10">
        <f t="shared" si="3"/>
        <v>0</v>
      </c>
      <c r="W18" s="10">
        <f t="shared" si="3"/>
        <v>0</v>
      </c>
      <c r="X18" s="10">
        <f t="shared" si="3"/>
        <v>0</v>
      </c>
      <c r="Y18" s="10">
        <f t="shared" si="3"/>
        <v>0</v>
      </c>
      <c r="Z18" s="10">
        <f t="shared" si="3"/>
        <v>0</v>
      </c>
      <c r="AA18" s="10">
        <f t="shared" si="3"/>
        <v>0</v>
      </c>
      <c r="AB18" s="10">
        <f t="shared" si="3"/>
        <v>0</v>
      </c>
      <c r="AC18" s="10">
        <f t="shared" si="3"/>
        <v>0</v>
      </c>
      <c r="AD18" s="10">
        <f t="shared" si="3"/>
        <v>0</v>
      </c>
      <c r="AE18" s="10">
        <f t="shared" si="3"/>
        <v>0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  <c r="AM18" s="10">
        <f t="shared" si="3"/>
        <v>0</v>
      </c>
      <c r="AN18" s="10">
        <f t="shared" si="3"/>
        <v>0</v>
      </c>
    </row>
    <row r="19" spans="1:40" x14ac:dyDescent="0.2">
      <c r="B19" s="11" t="s">
        <v>31</v>
      </c>
      <c r="C19" s="4" t="s">
        <v>25</v>
      </c>
      <c r="D19" s="10">
        <f>D18*20/100</f>
        <v>20</v>
      </c>
      <c r="E19" s="16">
        <f>E18*20/100</f>
        <v>20</v>
      </c>
      <c r="F19" s="10">
        <f t="shared" ref="F19" si="4">F18*20/100</f>
        <v>11.5</v>
      </c>
      <c r="G19" s="10">
        <f t="shared" ref="G19" si="5">G18*20/100</f>
        <v>0</v>
      </c>
      <c r="H19" s="10">
        <f t="shared" ref="H19" si="6">H18*20/100</f>
        <v>0</v>
      </c>
      <c r="I19" s="10">
        <f t="shared" ref="I19" si="7">I18*20/100</f>
        <v>0</v>
      </c>
      <c r="J19" s="10">
        <f t="shared" ref="J19" si="8">J18*20/100</f>
        <v>0</v>
      </c>
      <c r="K19" s="10">
        <f t="shared" ref="K19" si="9">K18*20/100</f>
        <v>0</v>
      </c>
      <c r="L19" s="10">
        <f t="shared" ref="L19" si="10">L18*20/100</f>
        <v>0</v>
      </c>
      <c r="M19" s="10">
        <f t="shared" ref="M19" si="11">M18*20/100</f>
        <v>0</v>
      </c>
      <c r="N19" s="10">
        <f t="shared" ref="N19" si="12">N18*20/100</f>
        <v>0</v>
      </c>
      <c r="O19" s="10">
        <f t="shared" ref="O19" si="13">O18*20/100</f>
        <v>0</v>
      </c>
      <c r="P19" s="10">
        <f t="shared" ref="P19" si="14">P18*20/100</f>
        <v>0</v>
      </c>
      <c r="Q19" s="10">
        <f t="shared" ref="Q19" si="15">Q18*20/100</f>
        <v>0</v>
      </c>
      <c r="R19" s="10">
        <f t="shared" ref="R19" si="16">R18*20/100</f>
        <v>0</v>
      </c>
      <c r="S19" s="10">
        <f t="shared" ref="S19" si="17">S18*20/100</f>
        <v>0</v>
      </c>
      <c r="T19" s="10">
        <f t="shared" ref="T19" si="18">T18*20/100</f>
        <v>0</v>
      </c>
      <c r="U19" s="10">
        <f t="shared" ref="U19" si="19">U18*20/100</f>
        <v>0</v>
      </c>
      <c r="V19" s="10">
        <f t="shared" ref="V19" si="20">V18*20/100</f>
        <v>0</v>
      </c>
      <c r="W19" s="10">
        <f t="shared" ref="W19" si="21">W18*20/100</f>
        <v>0</v>
      </c>
      <c r="X19" s="10">
        <f t="shared" ref="X19" si="22">X18*20/100</f>
        <v>0</v>
      </c>
      <c r="Y19" s="10">
        <f t="shared" ref="Y19" si="23">Y18*20/100</f>
        <v>0</v>
      </c>
      <c r="Z19" s="10">
        <f t="shared" ref="Z19" si="24">Z18*20/100</f>
        <v>0</v>
      </c>
      <c r="AA19" s="10">
        <f t="shared" ref="AA19" si="25">AA18*20/100</f>
        <v>0</v>
      </c>
      <c r="AB19" s="10">
        <f t="shared" ref="AB19" si="26">AB18*20/100</f>
        <v>0</v>
      </c>
      <c r="AC19" s="10">
        <f t="shared" ref="AC19" si="27">AC18*20/100</f>
        <v>0</v>
      </c>
      <c r="AD19" s="10">
        <f t="shared" ref="AD19" si="28">AD18*20/100</f>
        <v>0</v>
      </c>
      <c r="AE19" s="10">
        <f t="shared" ref="AE19" si="29">AE18*20/100</f>
        <v>0</v>
      </c>
      <c r="AF19" s="10">
        <f t="shared" ref="AF19" si="30">AF18*20/100</f>
        <v>0</v>
      </c>
      <c r="AG19" s="10">
        <f t="shared" ref="AG19" si="31">AG18*20/100</f>
        <v>0</v>
      </c>
      <c r="AH19" s="10">
        <f t="shared" ref="AH19" si="32">AH18*20/100</f>
        <v>0</v>
      </c>
      <c r="AI19" s="10">
        <f t="shared" ref="AI19" si="33">AI18*20/100</f>
        <v>0</v>
      </c>
      <c r="AJ19" s="10">
        <f t="shared" ref="AJ19" si="34">AJ18*20/100</f>
        <v>0</v>
      </c>
      <c r="AK19" s="10">
        <f t="shared" ref="AK19" si="35">AK18*20/100</f>
        <v>0</v>
      </c>
      <c r="AL19" s="10">
        <f t="shared" ref="AL19" si="36">AL18*20/100</f>
        <v>0</v>
      </c>
      <c r="AM19" s="10">
        <f t="shared" ref="AM19" si="37">AM18*20/100</f>
        <v>0</v>
      </c>
      <c r="AN19" s="10">
        <f t="shared" ref="AN19" si="38">AN18*20/100</f>
        <v>0</v>
      </c>
    </row>
    <row r="20" spans="1:40" x14ac:dyDescent="0.2">
      <c r="B20" s="7"/>
    </row>
    <row r="21" spans="1:40" s="4" customFormat="1" x14ac:dyDescent="0.2">
      <c r="A21" s="9"/>
      <c r="B21" s="8"/>
      <c r="D21"/>
      <c r="E21"/>
      <c r="F21"/>
      <c r="G21"/>
      <c r="H21"/>
      <c r="I21"/>
      <c r="J21"/>
    </row>
    <row r="22" spans="1:40" s="4" customFormat="1" x14ac:dyDescent="0.2">
      <c r="A22" s="9"/>
      <c r="B22" s="8"/>
      <c r="D22"/>
      <c r="E22"/>
      <c r="F22"/>
      <c r="G22"/>
      <c r="H22"/>
      <c r="I22"/>
      <c r="J22"/>
    </row>
    <row r="23" spans="1:40" s="4" customFormat="1" x14ac:dyDescent="0.2">
      <c r="A23" s="9"/>
      <c r="B23" s="7"/>
      <c r="D23"/>
      <c r="E23"/>
      <c r="F23"/>
      <c r="G23"/>
      <c r="H23"/>
      <c r="I23"/>
      <c r="J23"/>
    </row>
    <row r="24" spans="1:40" s="4" customFormat="1" x14ac:dyDescent="0.2">
      <c r="A24" s="9"/>
      <c r="B24" s="8"/>
      <c r="D24"/>
      <c r="E24"/>
      <c r="F24"/>
      <c r="G24"/>
      <c r="H24"/>
      <c r="I24"/>
      <c r="J24"/>
    </row>
    <row r="25" spans="1:40" s="4" customFormat="1" x14ac:dyDescent="0.2">
      <c r="A25" s="9"/>
      <c r="B25" s="8"/>
      <c r="D25"/>
      <c r="E25"/>
      <c r="F25"/>
      <c r="G25"/>
      <c r="H25"/>
      <c r="I25"/>
      <c r="J25"/>
    </row>
    <row r="26" spans="1:40" s="4" customFormat="1" x14ac:dyDescent="0.2">
      <c r="A26" s="9"/>
      <c r="B26" s="8"/>
      <c r="D26"/>
      <c r="E26"/>
      <c r="F26"/>
      <c r="G26"/>
      <c r="H26"/>
      <c r="I26"/>
      <c r="J26"/>
    </row>
    <row r="27" spans="1:40" s="4" customFormat="1" x14ac:dyDescent="0.2">
      <c r="A27" s="9"/>
      <c r="B27" s="8"/>
      <c r="D27"/>
      <c r="E27"/>
      <c r="F27"/>
      <c r="G27"/>
      <c r="H27"/>
      <c r="I27"/>
      <c r="J27"/>
    </row>
    <row r="28" spans="1:40" s="4" customFormat="1" x14ac:dyDescent="0.2">
      <c r="A28" s="9"/>
      <c r="B28" s="8"/>
      <c r="D28"/>
      <c r="E28"/>
      <c r="F28"/>
      <c r="G28"/>
      <c r="H28"/>
      <c r="I28"/>
      <c r="J28"/>
    </row>
    <row r="29" spans="1:40" s="4" customFormat="1" x14ac:dyDescent="0.2">
      <c r="A29" s="9"/>
      <c r="B29" s="8"/>
      <c r="D29"/>
      <c r="E29"/>
      <c r="F29"/>
      <c r="G29"/>
      <c r="H29"/>
      <c r="I29"/>
      <c r="J29"/>
    </row>
    <row r="30" spans="1:40" s="4" customFormat="1" x14ac:dyDescent="0.2">
      <c r="A30" s="9"/>
      <c r="B30" s="8"/>
      <c r="D30"/>
      <c r="E30"/>
      <c r="F30"/>
      <c r="G30"/>
      <c r="H30"/>
      <c r="I30"/>
      <c r="J30"/>
    </row>
    <row r="31" spans="1:40" s="4" customFormat="1" x14ac:dyDescent="0.2">
      <c r="A31" s="9"/>
      <c r="B31" s="7"/>
      <c r="D31"/>
      <c r="E31"/>
      <c r="F31"/>
      <c r="G31"/>
      <c r="H31"/>
      <c r="I31"/>
      <c r="J31"/>
    </row>
    <row r="32" spans="1:40" s="4" customFormat="1" x14ac:dyDescent="0.2">
      <c r="A32" s="9"/>
      <c r="B32" s="7"/>
      <c r="D32"/>
      <c r="E32"/>
      <c r="F32"/>
      <c r="G32"/>
      <c r="H32"/>
      <c r="I32"/>
      <c r="J32"/>
    </row>
    <row r="33" spans="1:10" s="4" customFormat="1" x14ac:dyDescent="0.2">
      <c r="A33" s="9"/>
      <c r="B33" s="6"/>
      <c r="D33"/>
      <c r="E33"/>
      <c r="F33"/>
      <c r="G33"/>
      <c r="H33"/>
      <c r="I33"/>
      <c r="J33"/>
    </row>
  </sheetData>
  <sheetProtection algorithmName="SHA-512" hashValue="cgL57wDT1fXnlbX8MezHn1UKmXj+XFp630j3MwTdGh9NezDmielp0BQ52EbSCOSsRvOhLcVn4H37A7bq5lC5HQ==" saltValue="EpZ7VZJXEp9uxDVwglfpAw==" spinCount="100000" sheet="1" objects="1" scenarios="1"/>
  <mergeCells count="82">
    <mergeCell ref="E7:E8"/>
    <mergeCell ref="I5:I6"/>
    <mergeCell ref="J5:J6"/>
    <mergeCell ref="C7:C8"/>
    <mergeCell ref="D7:D8"/>
    <mergeCell ref="F7:F8"/>
    <mergeCell ref="G7:G8"/>
    <mergeCell ref="H7:H8"/>
    <mergeCell ref="I7:I8"/>
    <mergeCell ref="J7:J8"/>
    <mergeCell ref="H5:H6"/>
    <mergeCell ref="C5:C6"/>
    <mergeCell ref="D5:D6"/>
    <mergeCell ref="F5:F6"/>
    <mergeCell ref="G5:G6"/>
    <mergeCell ref="E5:E6"/>
    <mergeCell ref="A1:A2"/>
    <mergeCell ref="B1:B2"/>
    <mergeCell ref="C1:C2"/>
    <mergeCell ref="D1:D2"/>
    <mergeCell ref="F1:F2"/>
    <mergeCell ref="E1:E2"/>
    <mergeCell ref="K5:K6"/>
    <mergeCell ref="K7:K8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7:AK8"/>
    <mergeCell ref="AL7:AL8"/>
    <mergeCell ref="AM7:AM8"/>
    <mergeCell ref="AN7:AN8"/>
    <mergeCell ref="AF7:AF8"/>
    <mergeCell ref="AG7:AG8"/>
    <mergeCell ref="AH7:AH8"/>
    <mergeCell ref="AI7:AI8"/>
    <mergeCell ref="AJ7:AJ8"/>
  </mergeCells>
  <dataValidations count="1">
    <dataValidation type="whole" allowBlank="1" showInputMessage="1" showErrorMessage="1" sqref="G4:AN8 G10:AN11 G13:AN17" xr:uid="{715A8B5D-643E-FC4F-8E4F-19F9E06E2AC4}">
      <formula1>0</formula1>
      <formula2>100</formula2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Silva</dc:creator>
  <cp:keywords/>
  <dc:description/>
  <cp:lastModifiedBy>Nuno Silva</cp:lastModifiedBy>
  <cp:revision/>
  <dcterms:created xsi:type="dcterms:W3CDTF">2023-12-04T11:12:51Z</dcterms:created>
  <dcterms:modified xsi:type="dcterms:W3CDTF">2025-10-10T19:36:23Z</dcterms:modified>
  <cp:category/>
  <cp:contentStatus/>
</cp:coreProperties>
</file>